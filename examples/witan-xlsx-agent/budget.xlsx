
<file path=[Content_Types].xml><?xml version="1.0" encoding="utf-8"?>
<Types xmlns="http://schemas.openxmlformats.org/package/2006/content-types">
  <Default Extension="xml" ContentType="application/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c5603039b64f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f75c6d52144090bd27ef3d4d50893f.psmdcp" Id="R59f3c5f1b0c4453c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 firstSheet="0" activeTab="0"/>
  </x:bookViews>
  <x:sheets>
    <x:sheet name="Inputs" sheetId="1" r:id="rId2"/>
    <x:sheet name="Summary" sheetId="2" r:id="rId3"/>
  </x:sheets>
  <x:calcPr calcId="125725"/>
</x:workbook>
</file>

<file path=xl/calcChain.xml><?xml version="1.0" encoding="utf-8"?>
<x:calcChain xmlns:x="http://schemas.openxmlformats.org/spreadsheetml/2006/main">
  <x:c r="B2" i="2"/>
  <x:c r="C2" i="2"/>
  <x:c r="D2" i="2"/>
  <x:c r="B3" i="2"/>
  <x:c r="C3" i="2"/>
  <x:c r="D3" i="2"/>
  <x:c r="B4" i="2"/>
  <x:c r="C4" i="2"/>
  <x:c r="D4" i="2"/>
  <x:c r="B5" i="2"/>
  <x:c r="C5" i="2"/>
  <x:c r="D5" i="2"/>
  <x:c r="B6" i="2"/>
  <x:c r="C6" i="2"/>
  <x:c r="D6" i="2"/>
  <x:c r="B7" i="2"/>
  <x:c r="C7" i="2"/>
  <x:c r="D7" i="2"/>
</x:calcChain>
</file>

<file path=xl/sharedStrings.xml><?xml version="1.0" encoding="utf-8"?>
<x:sst xmlns:x="http://schemas.openxmlformats.org/spreadsheetml/2006/main">
  <x:si>
    <x:t>Assumption</x:t>
  </x:si>
  <x:si>
    <x:t>Value</x:t>
  </x:si>
  <x:si>
    <x:t>Price (USD / unit)</x:t>
  </x:si>
  <x:si>
    <x:t>Units Y1</x:t>
  </x:si>
  <x:si>
    <x:t>Unit growth YoY</x:t>
  </x:si>
  <x:si>
    <x:t>Gross margin %</x:t>
  </x:si>
  <x:si>
    <x:t>Opex Y1 (USD)</x:t>
  </x:si>
  <x:si>
    <x:t>Opex growth YoY</x:t>
  </x:si>
  <x:si>
    <x:t>Metric</x:t>
  </x:si>
  <x:si>
    <x:t>Y1</x:t>
  </x:si>
  <x:si>
    <x:t>Y2</x:t>
  </x:si>
  <x:si>
    <x:t>Y3</x:t>
  </x:si>
  <x:si>
    <x:t>Units</x:t>
  </x:si>
  <x:si>
    <x:t>Revenue</x:t>
  </x:si>
  <x:si>
    <x:t>COGS</x:t>
  </x:si>
  <x:si>
    <x:t>Gross Profit</x:t>
  </x:si>
  <x:si>
    <x:t>Opex</x:t>
  </x:si>
  <x:si>
    <x:t>EBIT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</x:si>
</x:sst>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$#,##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EEF2F7"/>
      </x:patternFill>
    </x:fill>
    <x:fill>
      <x:patternFill patternType="solid">
        <x:fgColor rgb="FFF4F7EC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Id9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Revenue vs EBIT</a:t>
            </a:r>
            <a:endParaRPr/>
          </a:p>
        </c:rich>
      </c:tx>
    </c:title>
    <c:autoTitleDeleted val="0"/>
    <c:plotArea>
      <c:layout/>
      <c:barChart>
        <c:barDir val="col"/>
        <c:grouping val="clustered"/>
        <c:ser>
          <c:idx val="0"/>
          <c:order val="0"/>
          <c:tx>
            <c:v>Revenue</c:v>
          </c:tx>
          <c:spPr>
            <a:solidFill>
              <a:srgbClr val="2F6FEB"/>
            </a:solidFill>
          </c:spPr>
          <c:dLbls>
            <c:dLblPos val="outEnd"/>
            <c:showVal val="1"/>
          </c:dLbls>
          <c:cat>
            <c:strRef>
              <c:f>Summary!B1:D1</c:f>
              <c:strCache>
                <c:ptCount val="3"/>
                <c:pt idx="0">
                  <c:v>Y1</c:v>
                </c:pt>
                <c:pt idx="1">
                  <c:v>Y2</c:v>
                </c:pt>
                <c:pt idx="2">
                  <c:v>Y3</c:v>
                </c:pt>
              </c:strCache>
            </c:strRef>
          </c:cat>
          <c:val>
            <c:numRef>
              <c:f>Summary!B3:D3</c:f>
              <c:numCache>
                <c:formatCode>General</c:formatCode>
                <c:ptCount val="3"/>
                <c:pt idx="0">
                  <c:v>1200000</c:v>
                </c:pt>
                <c:pt idx="1">
                  <c:v>1500000</c:v>
                </c:pt>
                <c:pt idx="2">
                  <c:v>1875000</c:v>
                </c:pt>
              </c:numCache>
            </c:numRef>
          </c:val>
        </c:ser>
        <c:ser>
          <c:idx val="1"/>
          <c:order val="1"/>
          <c:tx>
            <c:v>EBIT</c:v>
          </c:tx>
          <c:spPr>
            <a:solidFill>
              <a:srgbClr val="7BB441"/>
            </a:solidFill>
          </c:spPr>
          <c:dLbls>
            <c:dLblPos val="outEnd"/>
            <c:showVal val="1"/>
          </c:dLbls>
          <c:cat>
            <c:strRef>
              <c:f>Summary!B1:D1</c:f>
              <c:strCache>
                <c:ptCount val="3"/>
                <c:pt idx="0">
                  <c:v>Y1</c:v>
                </c:pt>
                <c:pt idx="1">
                  <c:v>Y2</c:v>
                </c:pt>
                <c:pt idx="2">
                  <c:v>Y3</c:v>
                </c:pt>
              </c:strCache>
            </c:strRef>
          </c:cat>
          <c:val>
            <c:numRef>
              <c:f>Summary!B7:D7</c:f>
              <c:numCache>
                <c:formatCode>General</c:formatCode>
                <c:ptCount val="3"/>
                <c:pt idx="0">
                  <c:v>340000</c:v>
                </c:pt>
                <c:pt idx="1">
                  <c:v>475000</c:v>
                </c:pt>
                <c:pt idx="2">
                  <c:v>651250</c:v>
                </c:pt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TickMark val="out"/>
        <c:minorTickMark val="none"/>
        <c:tickLblPos val="nextTo"/>
        <c:crossAx val="48672768"/>
        <c:crosses val="autoZero"/>
        <c:auto val="1"/>
        <c:lblAlgn val="ctr"/>
        <c:lblOffset val="100"/>
      </c:catAx>
      <c:valAx>
        <c:axId val="48672768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48650112"/>
        <c:crosses val="autoZero"/>
        <c:crossBetween val="between"/>
        <c:numFmt formatCode="$#,##0" sourceLinked="0"/>
      </c:valAx>
    </c:plotArea>
    <c:legend>
      <c:legendPos val="r"/>
    </c:legend>
    <c:plotVisOnly val="1"/>
  </c:chart>
</c:chartSpace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13</xdr:col>
      <xdr:colOff>0</xdr:colOff>
      <xdr:row>17</xdr:row>
      <xdr:rowOff>0</xdr:rowOff>
    </xdr:to>
    <xdr:graphicFrame>
      <xdr:nvGraphicFramePr>
        <xdr:cNvPr id="1" name="Revenue vs EBIT" hidden="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Id8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B7"/>
  <x:sheetViews>
    <x:sheetView workbookViewId="0"/>
  </x:sheetViews>
  <x:sheetFormatPr defaultRowHeight="15"/>
  <x:cols>
    <x:col min="1" max="1" width="26.710625" style="0" customWidth="1"/>
    <x:col min="2" max="2" width="14.710625" style="0" customWidth="1"/>
    <x:col min="3" max="8" width="9.140625" style="0" customWidth="1"/>
  </x:cols>
  <x:sheetData>
    <x:row r="1" spans="1:8">
      <x:c r="A1" s="1" t="s">
        <x:v>0</x:v>
      </x:c>
      <x:c r="B1" s="1" t="s">
        <x:v>1</x:v>
      </x:c>
    </x:row>
    <x:row r="2" spans="1:8">
      <x:c r="A2" s="2" t="s">
        <x:v>2</x:v>
      </x:c>
      <x:c r="B2" s="3">
        <x:v>120</x:v>
      </x:c>
    </x:row>
    <x:row r="3" spans="1:8">
      <x:c r="A3" s="2" t="s">
        <x:v>3</x:v>
      </x:c>
      <x:c r="B3" s="4">
        <x:v>10000</x:v>
      </x:c>
    </x:row>
    <x:row r="4" spans="1:8">
      <x:c r="A4" s="2" t="s">
        <x:v>4</x:v>
      </x:c>
      <x:c r="B4" s="5">
        <x:v>0.25</x:v>
      </x:c>
    </x:row>
    <x:row r="5" spans="1:8">
      <x:c r="A5" s="2" t="s">
        <x:v>5</x:v>
      </x:c>
      <x:c r="B5" s="5">
        <x:v>0.7</x:v>
      </x:c>
    </x:row>
    <x:row r="6" spans="1:8">
      <x:c r="A6" s="2" t="s">
        <x:v>6</x:v>
      </x:c>
      <x:c r="B6" s="3">
        <x:v>500000</x:v>
      </x:c>
    </x:row>
    <x:row r="7" spans="1:8">
      <x:c r="A7" s="2" t="s">
        <x:v>7</x:v>
      </x:c>
      <x:c r="B7" s="5">
        <x:v>0.15</x:v>
      </x:c>
    </x:row>
  </x:sheetData>
  <x:headerFooter/>
</x:worksheet>
</file>

<file path=xl/worksheets/sheet2.xml><?xml version="1.0" encoding="utf-8"?>
<x:worksheet xmlns:r="http://schemas.openxmlformats.org/officeDocument/2006/relationships" xmlns:x="http://schemas.openxmlformats.org/spreadsheetml/2006/main">
  <x:dimension ref="A1:D7"/>
  <x:sheetViews>
    <x:sheetView workbookViewId="0"/>
  </x:sheetViews>
  <x:sheetFormatPr defaultRowHeight="15"/>
  <x:cols>
    <x:col min="1" max="1" width="16.710625" style="0" customWidth="1"/>
    <x:col min="2" max="4" width="14.710625" style="0" customWidth="1"/>
    <x:col min="5" max="20" width="9.140625" style="0" customWidth="1"/>
  </x:cols>
  <x:sheetData>
    <x:row r="1" spans="1:20">
      <x:c r="A1" s="1" t="s">
        <x:v>8</x:v>
      </x:c>
      <x:c r="B1" s="1" t="s">
        <x:v>9</x:v>
      </x:c>
      <x:c r="C1" s="1" t="s">
        <x:v>10</x:v>
      </x:c>
      <x:c r="D1" s="1" t="s">
        <x:v>11</x:v>
      </x:c>
    </x:row>
    <x:row r="2" spans="1:20">
      <x:c r="A2" s="2" t="s">
        <x:v>12</x:v>
      </x:c>
      <x:c r="B2" s="4">
        <x:f>Inputs!B3</x:f>
        <x:v>10000</x:v>
      </x:c>
      <x:c r="C2" s="4">
        <x:f>B2*(1+Inputs!B4)</x:f>
        <x:v>12500</x:v>
      </x:c>
      <x:c r="D2" s="4">
        <x:f>C2*(1+Inputs!B4)</x:f>
        <x:v>15625</x:v>
      </x:c>
    </x:row>
    <x:row r="3" spans="1:20">
      <x:c r="A3" s="2" t="s">
        <x:v>13</x:v>
      </x:c>
      <x:c r="B3" s="3">
        <x:f>B2*Inputs!B2</x:f>
        <x:v>1200000</x:v>
      </x:c>
      <x:c r="C3" s="3">
        <x:f>C2*Inputs!B2</x:f>
        <x:v>1500000</x:v>
      </x:c>
      <x:c r="D3" s="3">
        <x:f>D2*Inputs!B2</x:f>
        <x:v>1875000</x:v>
      </x:c>
    </x:row>
    <x:row r="4" spans="1:20">
      <x:c r="A4" s="2" t="s">
        <x:v>14</x:v>
      </x:c>
      <x:c r="B4" s="3">
        <x:f>B3*(1-Inputs!B5)</x:f>
        <x:v>360000</x:v>
      </x:c>
      <x:c r="C4" s="3">
        <x:f>C3*(1-Inputs!B5)</x:f>
        <x:v>450000</x:v>
      </x:c>
      <x:c r="D4" s="3">
        <x:f>D3*(1-Inputs!B5)</x:f>
        <x:v>562500</x:v>
      </x:c>
    </x:row>
    <x:row r="5" spans="1:20">
      <x:c r="A5" s="2" t="s">
        <x:v>15</x:v>
      </x:c>
      <x:c r="B5" s="3">
        <x:f>B3-B4</x:f>
        <x:v>840000</x:v>
      </x:c>
      <x:c r="C5" s="3">
        <x:f>C3-C4</x:f>
        <x:v>1050000</x:v>
      </x:c>
      <x:c r="D5" s="3">
        <x:f>D3-D4</x:f>
        <x:v>1312500</x:v>
      </x:c>
    </x:row>
    <x:row r="6" spans="1:20">
      <x:c r="A6" s="2" t="s">
        <x:v>16</x:v>
      </x:c>
      <x:c r="B6" s="3">
        <x:f>Inputs!B6</x:f>
        <x:v>500000</x:v>
      </x:c>
      <x:c r="C6" s="3">
        <x:f>B6*(1+Inputs!B7)</x:f>
        <x:v>575000</x:v>
      </x:c>
      <x:c r="D6" s="3">
        <x:f>C6*(1+Inputs!B7)</x:f>
        <x:v>661250</x:v>
      </x:c>
    </x:row>
    <x:row r="7" spans="1:20">
      <x:c r="A7" s="6" t="s">
        <x:v>17</x:v>
      </x:c>
      <x:c r="B7" s="7">
        <x:f>B5-B6</x:f>
        <x:v>340000</x:v>
      </x:c>
      <x:c r="C7" s="7">
        <x:f>C5-C6</x:f>
        <x:v>475000</x:v>
      </x:c>
      <x:c r="D7" s="7">
        <x:f>D5-D6</x:f>
        <x:v>651250</x:v>
      </x:c>
    </x:row>
  </x:sheetData>
  <x:headerFooter/>
  <x:drawing xmlns:r="http://schemas.openxmlformats.org/officeDocument/2006/relationships" r:id="rId8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Inputs</vt:lpstr>
      <vt:lpstr>Summary</vt:lpstr>
      <vt:lpstr>Inputs!Print_Area</vt:lpstr>
      <vt:lpstr>Inputs!Print_Titles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